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xr:revisionPtr revIDLastSave="933" documentId="11_E60897F41BE170836B02CE998F75CCDC64E183C8" xr6:coauthVersionLast="47" xr6:coauthVersionMax="47" xr10:uidLastSave="{C2607004-62FB-428B-8FA1-0C3EFB50C06F}"/>
  <bookViews>
    <workbookView xWindow="240" yWindow="105" windowWidth="14805" windowHeight="8010" firstSheet="3" xr2:uid="{00000000-000D-0000-FFFF-FFFF00000000}"/>
  </bookViews>
  <sheets>
    <sheet name="Data" sheetId="1" r:id="rId1"/>
    <sheet name="Monthly_Pivot" sheetId="5" r:id="rId2"/>
    <sheet name="Product-Wise Pivot" sheetId="6" r:id="rId3"/>
    <sheet name="State-Wise Pivot" sheetId="7" r:id="rId4"/>
    <sheet name="Sum,Profit,Quantity" sheetId="3" r:id="rId5"/>
    <sheet name="Date_Wise Sale" sheetId="4" r:id="rId6"/>
    <sheet name="Avg Sale" sheetId="10" r:id="rId7"/>
    <sheet name="Dashboard" sheetId="8" r:id="rId8"/>
  </sheets>
  <definedNames>
    <definedName name="Slicer_Category">#N/A</definedName>
    <definedName name="Slicer_State">#N/A</definedName>
  </definedNames>
  <calcPr calcId="191028"/>
  <pivotCaches>
    <pivotCache cacheId="1015" r:id="rId9"/>
    <pivotCache cacheId="101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8" l="1"/>
  <c r="H5" i="8"/>
  <c r="D5" i="8"/>
  <c r="P5" i="8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H6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<sst xmlns="http://schemas.openxmlformats.org/spreadsheetml/2006/main" count="104" uniqueCount="36">
  <si>
    <t>Date</t>
  </si>
  <si>
    <t>Product</t>
  </si>
  <si>
    <t>Category</t>
  </si>
  <si>
    <t>State</t>
  </si>
  <si>
    <t>Sales</t>
  </si>
  <si>
    <t>Profit</t>
  </si>
  <si>
    <t>Quantity</t>
  </si>
  <si>
    <t>Months</t>
  </si>
  <si>
    <t>RealDate</t>
  </si>
  <si>
    <t>Laptop</t>
  </si>
  <si>
    <t>Electronics</t>
  </si>
  <si>
    <t>Delhi</t>
  </si>
  <si>
    <t>Mobile</t>
  </si>
  <si>
    <t>Maharashtra</t>
  </si>
  <si>
    <t>Shirt</t>
  </si>
  <si>
    <t>Clothing</t>
  </si>
  <si>
    <t>Uttar Pradesh</t>
  </si>
  <si>
    <t>Shoes</t>
  </si>
  <si>
    <t>TV</t>
  </si>
  <si>
    <t>Karnataka</t>
  </si>
  <si>
    <t>Watch</t>
  </si>
  <si>
    <t>Accessories</t>
  </si>
  <si>
    <t>Gujarat</t>
  </si>
  <si>
    <t>Sum of Sales</t>
  </si>
  <si>
    <t>Jan</t>
  </si>
  <si>
    <t>Feb</t>
  </si>
  <si>
    <t>Mar</t>
  </si>
  <si>
    <t>Grand Total</t>
  </si>
  <si>
    <t>Sum of Profit</t>
  </si>
  <si>
    <t>Sum of Quantity</t>
  </si>
  <si>
    <t>Average of Sales</t>
  </si>
  <si>
    <t xml:space="preserve">Sales Performance Dashboard		</t>
  </si>
  <si>
    <t>Total Sales</t>
  </si>
  <si>
    <t>Avg Sales</t>
  </si>
  <si>
    <t>Top State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</si>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</sst>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 [$₹-439]* #,##0_ ;_ [$₹-439]* \-#,##0_ ;_ [$₹-439]* &quot;-&quot;??_ ;_ @_ "/>
    <numFmt numFmtId="168" formatCode="[$₹-439]#,##0.00"/>
    <numFmt numFmtId="174" formatCode="_ [$₹-439]* #,##0_ ;_ [$₹-439]* \-#,##0_ ;_ [$₹-439]* &quot;-&quot;????_ ;_ @_ "/>
  </numFmts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6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NumberFormat="1"/>
    <xf numFmtId="0" fontId="0" fillId="0" borderId="0" xfId="0" pivotButton="1"/>
    <xf numFmtId="14" fontId="2" fillId="3" borderId="2" xfId="0" applyNumberFormat="1" applyFont="1" applyFill="1" applyBorder="1" applyAlignment="1"/>
    <xf numFmtId="0" fontId="2" fillId="3" borderId="2" xfId="0" applyFont="1" applyFill="1" applyBorder="1" applyAlignment="1"/>
    <xf numFmtId="14" fontId="2" fillId="0" borderId="2" xfId="0" applyNumberFormat="1" applyFont="1" applyBorder="1" applyAlignment="1"/>
    <xf numFmtId="0" fontId="2" fillId="0" borderId="2" xfId="0" applyFont="1" applyBorder="1" applyAlignment="1"/>
    <xf numFmtId="14" fontId="2" fillId="3" borderId="3" xfId="0" applyNumberFormat="1" applyFont="1" applyFill="1" applyBorder="1" applyAlignment="1"/>
    <xf numFmtId="14" fontId="2" fillId="0" borderId="3" xfId="0" applyNumberFormat="1" applyFont="1" applyBorder="1" applyAlignment="1"/>
    <xf numFmtId="0" fontId="1" fillId="2" borderId="0" xfId="0" applyFont="1" applyFill="1" applyBorder="1" applyAlignment="1"/>
    <xf numFmtId="0" fontId="1" fillId="2" borderId="5" xfId="0" applyFont="1" applyFill="1" applyBorder="1" applyAlignment="1"/>
    <xf numFmtId="0" fontId="3" fillId="5" borderId="0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/>
    </xf>
    <xf numFmtId="166" fontId="5" fillId="5" borderId="7" xfId="0" applyNumberFormat="1" applyFont="1" applyFill="1" applyBorder="1" applyAlignment="1">
      <alignment horizontal="center"/>
    </xf>
    <xf numFmtId="166" fontId="5" fillId="5" borderId="10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wrapText="1"/>
    </xf>
    <xf numFmtId="0" fontId="0" fillId="5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9" fontId="0" fillId="5" borderId="0" xfId="0" applyNumberFormat="1" applyFill="1"/>
    <xf numFmtId="166" fontId="2" fillId="3" borderId="2" xfId="0" applyNumberFormat="1" applyFont="1" applyFill="1" applyBorder="1" applyAlignment="1"/>
    <xf numFmtId="166" fontId="2" fillId="0" borderId="2" xfId="0" applyNumberFormat="1" applyFont="1" applyBorder="1" applyAlignment="1"/>
    <xf numFmtId="0" fontId="0" fillId="0" borderId="8" xfId="0" pivotButton="1" applyBorder="1"/>
    <xf numFmtId="0" fontId="0" fillId="0" borderId="8" xfId="0" applyBorder="1"/>
    <xf numFmtId="14" fontId="0" fillId="0" borderId="8" xfId="0" applyNumberFormat="1" applyBorder="1"/>
    <xf numFmtId="166" fontId="0" fillId="0" borderId="8" xfId="0" applyNumberFormat="1" applyBorder="1"/>
    <xf numFmtId="168" fontId="0" fillId="0" borderId="0" xfId="0" applyNumberFormat="1"/>
    <xf numFmtId="174" fontId="0" fillId="0" borderId="8" xfId="0" applyNumberFormat="1" applyBorder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_ [$₹-439]* #,##0_ ;_ [$₹-439]* \-#,##0_ ;_ [$₹-439]* &quot;-&quot;??_ ;_ @_ 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_ [$₹-439]* #,##0_ ;_ [$₹-439]* \-#,##0_ ;_ [$₹-439]* &quot;-&quot;??_ ;_ @_ 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00"/>
        </patternFill>
      </fill>
      <alignment horizontal="general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74" formatCode="_ [$₹-439]* #,##0_ ;_ [$₹-439]* \-#,##0_ ;_ [$₹-439]* &quot;-&quot;????_ ;_ 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 [$₹-439]* #,##0_ ;_ [$₹-439]* \-#,##0_ ;_ [$₹-439]* &quot;-&quot;??_ ;_ @_ "/>
    </dxf>
    <dxf>
      <numFmt numFmtId="166" formatCode="_ [$₹-439]* #,##0_ ;_ [$₹-439]* \-#,##0_ ;_ [$₹-439]* &quot;-&quot;??_ ;_ 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 [$₹-439]* #,##0_ ;_ [$₹-439]* \-#,##0_ ;_ [$₹-439]* &quot;-&quot;??_ ;_ 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 [$₹-439]* #,##0_ ;_ [$₹-439]* \-#,##0_ ;_ [$₹-439]* &quot;-&quot;??_ ;_ 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 [$₹-439]* #,##0_ ;_ [$₹-439]* \-#,##0_ ;_ [$₹-439]* &quot;-&quot;??_ ;_ 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 [$₹-439]* #,##0_ ;_ [$₹-439]* \-#,##0_ ;_ [$₹-439]* &quot;-&quot;??_ ;_ @_ 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[Sales_Performance_Dashboard.xlsx]Monthly_Pivot!PivotTable1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Monthly-Sales-Chart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Monthly_Pivot!$A$4:$A$7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Monthly_Pivot!$B$4:$B$7</c:f>
              <c:numCache>
                <c:formatCode>_ [$₹-439]* #,##0_ ;_ [$₹-439]* \-#,##0_ ;_ [$₹-439]* "-"??_ ;_ @_ </c:formatCode>
                <c:ptCount val="3"/>
                <c:pt idx="0">
                  <c:v>129500</c:v>
                </c:pt>
                <c:pt idx="1">
                  <c:v>141000</c:v>
                </c:pt>
                <c:pt idx="2">
                  <c:v>136200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014-A33C-5CCB47D8C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828231"/>
        <c:axId val="1483448839"/>
      </c:barChart>
      <c:catAx>
        <c:axId val="129182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48839"/>
        <c:crosses val="autoZero"/>
        <c:auto val="1"/>
        <c:lblAlgn val="ctr"/>
        <c:lblOffset val="100"/>
        <c:noMultiLvlLbl val="0"/>
      </c:catAx>
      <c:valAx>
        <c:axId val="148344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2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[Sales_Performance_Dashboard.xlsx]Product-Wise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Product-wise-sale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'Product-Wise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32-4440-B16B-B9D5CB438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32-4440-B16B-B9D5CB438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32-4440-B16B-B9D5CB4389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32-4440-B16B-B9D5CB4389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32-4440-B16B-B9D5CB4389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32-4440-B16B-B9D5CB438997}"/>
              </c:ext>
            </c:extLst>
          </c:dPt>
          <c:cat>
            <c:strRef>
              <c:f>'Product-Wise Pivot'!$A$4:$A$10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Shirt</c:v>
                </c:pt>
                <c:pt idx="3">
                  <c:v>Shoes</c:v>
                </c:pt>
                <c:pt idx="4">
                  <c:v>TV</c:v>
                </c:pt>
                <c:pt idx="5">
                  <c:v>Watch</c:v>
                </c:pt>
              </c:strCache>
            </c:strRef>
          </c:cat>
          <c:val>
            <c:numRef>
              <c:f>'Product-Wise Pivot'!$B$4:$B$10</c:f>
              <c:numCache>
                <c:formatCode>_ [$₹-439]* #,##0_ ;_ [$₹-439]* \-#,##0_ ;_ [$₹-439]* "-"??_ ;_ @_ </c:formatCode>
                <c:ptCount val="6"/>
                <c:pt idx="0">
                  <c:v>173000</c:v>
                </c:pt>
                <c:pt idx="1">
                  <c:v>63000</c:v>
                </c:pt>
                <c:pt idx="2">
                  <c:v>9700</c:v>
                </c:pt>
                <c:pt idx="3">
                  <c:v>12700</c:v>
                </c:pt>
                <c:pt idx="4">
                  <c:v>140000</c:v>
                </c:pt>
                <c:pt idx="5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6-4A8C-B046-C23DC1198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[Sales_Performance_Dashboard.xlsx]State-Wise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State-Wise-Sale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'State-Wise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'State-Wise Pivot'!$A$4:$A$9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Uttar Pradesh</c:v>
                </c:pt>
              </c:strCache>
            </c:strRef>
          </c:cat>
          <c:val>
            <c:numRef>
              <c:f>'State-Wise Pivot'!$B$4:$B$9</c:f>
              <c:numCache>
                <c:formatCode>_ [$₹-439]* #,##0_ ;_ [$₹-439]* \-#,##0_ ;_ [$₹-439]* "-"??_ ;_ @_ </c:formatCode>
                <c:ptCount val="5"/>
                <c:pt idx="0">
                  <c:v>87200</c:v>
                </c:pt>
                <c:pt idx="1">
                  <c:v>71500</c:v>
                </c:pt>
                <c:pt idx="2">
                  <c:v>109300</c:v>
                </c:pt>
                <c:pt idx="3">
                  <c:v>84200</c:v>
                </c:pt>
                <c:pt idx="4">
                  <c:v>54500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1-4BC9-B51A-BACA09A15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996487"/>
        <c:axId val="1286998535"/>
      </c:barChart>
      <c:catAx>
        <c:axId val="128699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98535"/>
        <c:crosses val="autoZero"/>
        <c:auto val="1"/>
        <c:lblAlgn val="ctr"/>
        <c:lblOffset val="100"/>
        <c:noMultiLvlLbl val="0"/>
      </c:catAx>
      <c:valAx>
        <c:axId val="1286998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96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[Sales_Performance_Dashboard.xlsx]Monthly_Pivot!PivotTable1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Month-Wise Sales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Monthly_Pivot!$A$4:$A$7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Monthly_Pivot!$B$4:$B$7</c:f>
              <c:numCache>
                <c:formatCode>_ [$₹-439]* #,##0_ ;_ [$₹-439]* \-#,##0_ ;_ [$₹-439]* "-"??_ ;_ @_ </c:formatCode>
                <c:ptCount val="3"/>
                <c:pt idx="0">
                  <c:v>129500</c:v>
                </c:pt>
                <c:pt idx="1">
                  <c:v>141000</c:v>
                </c:pt>
                <c:pt idx="2">
                  <c:v>136200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D-468E-8849-7D55CAF19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5"/>
        <c:overlap val="-27"/>
        <c:axId val="1291828231"/>
        <c:axId val="1483448839"/>
      </c:barChart>
      <c:catAx>
        <c:axId val="129182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48839"/>
        <c:crosses val="autoZero"/>
        <c:auto val="1"/>
        <c:lblAlgn val="ctr"/>
        <c:lblOffset val="100"/>
        <c:noMultiLvlLbl val="0"/>
      </c:catAx>
      <c:valAx>
        <c:axId val="1483448839"/>
        <c:scaling>
          <c:orientation val="minMax"/>
        </c:scaling>
        <c:delete val="0"/>
        <c:axPos val="l"/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28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7E6E6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[Sales_Performance_Dashboard.xlsx]State-Wise 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'State-Wise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'State-Wise Pivot'!$A$4:$A$9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Uttar Pradesh</c:v>
                </c:pt>
              </c:strCache>
            </c:strRef>
          </c:cat>
          <c:val>
            <c:numRef>
              <c:f>'State-Wise Pivot'!$B$4:$B$9</c:f>
              <c:numCache>
                <c:formatCode>_ [$₹-439]* #,##0_ ;_ [$₹-439]* \-#,##0_ ;_ [$₹-439]* "-"??_ ;_ @_ </c:formatCode>
                <c:ptCount val="5"/>
                <c:pt idx="0">
                  <c:v>87200</c:v>
                </c:pt>
                <c:pt idx="1">
                  <c:v>71500</c:v>
                </c:pt>
                <c:pt idx="2">
                  <c:v>109300</c:v>
                </c:pt>
                <c:pt idx="3">
                  <c:v>84200</c:v>
                </c:pt>
                <c:pt idx="4">
                  <c:v>54500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D-49DE-ACF2-FDF21F414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996487"/>
        <c:axId val="1286998535"/>
      </c:barChart>
      <c:catAx>
        <c:axId val="128699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98535"/>
        <c:crosses val="autoZero"/>
        <c:auto val="1"/>
        <c:lblAlgn val="ctr"/>
        <c:lblOffset val="100"/>
        <c:noMultiLvlLbl val="0"/>
      </c:catAx>
      <c:valAx>
        <c:axId val="1286998535"/>
        <c:scaling>
          <c:orientation val="minMax"/>
        </c:scaling>
        <c:delete val="0"/>
        <c:axPos val="b"/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96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[Sales_Performance_Dashboard.xlsx]Product-Wise 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'Product-Wise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DC-41A1-B46F-55D2596AB2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C-41A1-B46F-55D2596AB2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DC-41A1-B46F-55D2596AB2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DC-41A1-B46F-55D2596AB2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DC-41A1-B46F-55D2596AB2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DC-41A1-B46F-55D2596AB2A1}"/>
              </c:ext>
            </c:extLst>
          </c:dPt>
          <c:cat>
            <c:strRef>
              <c:f>'Product-Wise Pivot'!$A$4:$A$10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Shirt</c:v>
                </c:pt>
                <c:pt idx="3">
                  <c:v>Shoes</c:v>
                </c:pt>
                <c:pt idx="4">
                  <c:v>TV</c:v>
                </c:pt>
                <c:pt idx="5">
                  <c:v>Watch</c:v>
                </c:pt>
              </c:strCache>
            </c:strRef>
          </c:cat>
          <c:val>
            <c:numRef>
              <c:f>'Product-Wise Pivot'!$B$4:$B$10</c:f>
              <c:numCache>
                <c:formatCode>_ [$₹-439]* #,##0_ ;_ [$₹-439]* \-#,##0_ ;_ [$₹-439]* "-"??_ ;_ @_ </c:formatCode>
                <c:ptCount val="6"/>
                <c:pt idx="0">
                  <c:v>173000</c:v>
                </c:pt>
                <c:pt idx="1">
                  <c:v>63000</c:v>
                </c:pt>
                <c:pt idx="2">
                  <c:v>9700</c:v>
                </c:pt>
                <c:pt idx="3">
                  <c:v>12700</c:v>
                </c:pt>
                <c:pt idx="4">
                  <c:v>140000</c:v>
                </c:pt>
                <c:pt idx="5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DC-41A1-B46F-55D2596A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161925</xdr:rowOff>
    </xdr:from>
    <xdr:to>
      <xdr:col>7</xdr:col>
      <xdr:colOff>333375</xdr:colOff>
      <xdr:row>12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F34C9B-34F6-F5A9-C1A8-872376E332A6}"/>
            </a:ext>
            <a:ext uri="{147F2762-F138-4A5C-976F-8EAC2B608ADB}">
              <a16:predDERef xmlns:a16="http://schemas.microsoft.com/office/drawing/2014/main" pred="{FF02A273-F92C-CC29-D109-C262B03D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180975</xdr:rowOff>
    </xdr:from>
    <xdr:to>
      <xdr:col>6</xdr:col>
      <xdr:colOff>600075</xdr:colOff>
      <xdr:row>11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0C93C-81C3-EAAA-891B-8A1B52496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152400</xdr:rowOff>
    </xdr:from>
    <xdr:to>
      <xdr:col>8</xdr:col>
      <xdr:colOff>390525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E5032-E68D-C4C8-AF2B-0F752D01D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152400</xdr:rowOff>
    </xdr:from>
    <xdr:to>
      <xdr:col>10</xdr:col>
      <xdr:colOff>523875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FD7F9-9628-4BF6-8DCC-F091E902701E}"/>
            </a:ext>
            <a:ext uri="{147F2762-F138-4A5C-976F-8EAC2B608ADB}">
              <a16:predDERef xmlns:a16="http://schemas.microsoft.com/office/drawing/2014/main" pred="{FF02A273-F92C-CC29-D109-C262B03D6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5</xdr:row>
      <xdr:rowOff>161925</xdr:rowOff>
    </xdr:from>
    <xdr:to>
      <xdr:col>18</xdr:col>
      <xdr:colOff>257175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BE7C0-7BF1-4D8D-9BE2-51D5AD241541}"/>
            </a:ext>
            <a:ext uri="{147F2762-F138-4A5C-976F-8EAC2B608ADB}">
              <a16:predDERef xmlns:a16="http://schemas.microsoft.com/office/drawing/2014/main" pred="{B66FD7F9-9628-4BF6-8DCC-F091E9027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15</xdr:row>
      <xdr:rowOff>38100</xdr:rowOff>
    </xdr:from>
    <xdr:to>
      <xdr:col>13</xdr:col>
      <xdr:colOff>552450</xdr:colOff>
      <xdr:row>22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A8A74E-A004-431B-9794-A46A1CE07FAD}"/>
            </a:ext>
            <a:ext uri="{147F2762-F138-4A5C-976F-8EAC2B608ADB}">
              <a16:predDERef xmlns:a16="http://schemas.microsoft.com/office/drawing/2014/main" pred="{35BBE7C0-7BF1-4D8D-9BE2-51D5AD241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</xdr:row>
      <xdr:rowOff>180975</xdr:rowOff>
    </xdr:from>
    <xdr:to>
      <xdr:col>1</xdr:col>
      <xdr:colOff>714375</xdr:colOff>
      <xdr:row>11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 1">
              <a:extLst>
                <a:ext uri="{FF2B5EF4-FFF2-40B4-BE49-F238E27FC236}">
                  <a16:creationId xmlns:a16="http://schemas.microsoft.com/office/drawing/2014/main" id="{232EED82-6149-6491-B284-A229EB825349}"/>
                </a:ext>
                <a:ext uri="{147F2762-F138-4A5C-976F-8EAC2B608ADB}">
                  <a16:predDERef xmlns:a16="http://schemas.microsoft.com/office/drawing/2014/main" pred="{11A8A74E-A004-431B-9794-A46A1CE07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1975"/>
              <a:ext cx="1476375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114300</xdr:rowOff>
    </xdr:from>
    <xdr:to>
      <xdr:col>1</xdr:col>
      <xdr:colOff>714375</xdr:colOff>
      <xdr:row>23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e 1">
              <a:extLst>
                <a:ext uri="{FF2B5EF4-FFF2-40B4-BE49-F238E27FC236}">
                  <a16:creationId xmlns:a16="http://schemas.microsoft.com/office/drawing/2014/main" id="{5E794F47-110B-12A7-2E9D-02B4553A78ED}"/>
                </a:ext>
                <a:ext uri="{147F2762-F138-4A5C-976F-8EAC2B608ADB}">
                  <a16:predDERef xmlns:a16="http://schemas.microsoft.com/office/drawing/2014/main" pred="{232EED82-6149-6491-B284-A229EB825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86000"/>
              <a:ext cx="1476375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543923032405" createdVersion="8" refreshedVersion="8" minRefreshableVersion="3" recordCount="18" xr:uid="{2CF5B106-6DBC-4030-968E-3F8250E6A90D}">
  <cacheSource type="worksheet">
    <worksheetSource name="Table1"/>
  </cacheSource>
  <cacheFields count="9">
    <cacheField name="Date" numFmtId="14">
      <sharedItems containsSemiMixedTypes="0" containsNonDate="0" containsDate="1" containsString="0" minDate="2024-01-01T00:00:00" maxDate="2024-03-26T00:00:00"/>
    </cacheField>
    <cacheField name="Product" numFmtId="0">
      <sharedItems count="6">
        <s v="Laptop"/>
        <s v="Mobile"/>
        <s v="Shirt"/>
        <s v="Shoes"/>
        <s v="TV"/>
        <s v="Watch"/>
      </sharedItems>
    </cacheField>
    <cacheField name="Category" numFmtId="0">
      <sharedItems count="3">
        <s v="Electronics"/>
        <s v="Clothing"/>
        <s v="Accessories"/>
      </sharedItems>
    </cacheField>
    <cacheField name="State" numFmtId="0">
      <sharedItems count="5">
        <s v="Delhi"/>
        <s v="Maharashtra"/>
        <s v="Uttar Pradesh"/>
        <s v="Karnataka"/>
        <s v="Gujarat"/>
      </sharedItems>
    </cacheField>
    <cacheField name="Sales" numFmtId="166">
      <sharedItems containsSemiMixedTypes="0" containsString="0" containsNumber="1" containsInteger="1" minValue="2500" maxValue="60000"/>
    </cacheField>
    <cacheField name="Profit" numFmtId="166">
      <sharedItems containsSemiMixedTypes="0" containsString="0" containsNumber="1" containsInteger="1" minValue="400" maxValue="9000"/>
    </cacheField>
    <cacheField name="Quantity" numFmtId="0">
      <sharedItems containsSemiMixedTypes="0" containsString="0" containsNumber="1" containsInteger="1" minValue="1" maxValue="6"/>
    </cacheField>
    <cacheField name="Months" numFmtId="0">
      <sharedItems count="3">
        <s v="Jan"/>
        <s v="Feb"/>
        <s v="Mar"/>
      </sharedItems>
    </cacheField>
    <cacheField name="RealDate" numFmtId="14">
      <sharedItems containsSemiMixedTypes="0" containsNonDate="0" containsDate="1" containsString="0" minDate="5299-09-14T00:00:00" maxDate="5382-05-16T00:00:00"/>
    </cacheField>
  </cacheFields>
  <extLst>
    <ext xmlns:x14="http://schemas.microsoft.com/office/spreadsheetml/2009/9/main" uri="{725AE2AE-9491-48be-B2B4-4EB974FC3084}">
      <x14:pivotCacheDefinition pivotCacheId="97093465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543923032405" createdVersion="8" refreshedVersion="8" minRefreshableVersion="3" recordCount="18" xr:uid="{CC5335B8-788F-44E5-B432-792F163423B8}">
  <cacheSource type="worksheet">
    <worksheetSource ref="A1:I19" sheet="Data"/>
  </cacheSource>
  <cacheFields count="9">
    <cacheField name="Date" numFmtId="14">
      <sharedItems containsSemiMixedTypes="0" containsNonDate="0" containsDate="1" containsString="0" minDate="2024-01-01T00:00:00" maxDate="2024-03-26T00:00:00" count="18">
        <d v="2024-01-01T00:00:00"/>
        <d v="2024-01-05T00:00:00"/>
        <d v="2024-01-10T00:00:00"/>
        <d v="2024-01-15T00:00:00"/>
        <d v="2024-01-20T00:00:00"/>
        <d v="2024-01-25T00:00:00"/>
        <d v="2024-02-01T00:00:00"/>
        <d v="2024-02-05T00:00:00"/>
        <d v="2024-02-10T00:00:00"/>
        <d v="2024-02-15T00:00:00"/>
        <d v="2024-02-20T00:00:00"/>
        <d v="2024-02-25T00:00:00"/>
        <d v="2024-03-01T00:00:00"/>
        <d v="2024-03-05T00:00:00"/>
        <d v="2024-03-10T00:00:00"/>
        <d v="2024-03-15T00:00:00"/>
        <d v="2024-03-20T00:00:00"/>
        <d v="2024-03-25T00:00:00"/>
      </sharedItems>
    </cacheField>
    <cacheField name="Product" numFmtId="0">
      <sharedItems/>
    </cacheField>
    <cacheField name="Category" numFmtId="0">
      <sharedItems/>
    </cacheField>
    <cacheField name="State" numFmtId="0">
      <sharedItems/>
    </cacheField>
    <cacheField name="Sales" numFmtId="166">
      <sharedItems containsSemiMixedTypes="0" containsString="0" containsNumber="1" containsInteger="1" minValue="2500" maxValue="60000"/>
    </cacheField>
    <cacheField name="Profit" numFmtId="166">
      <sharedItems containsSemiMixedTypes="0" containsString="0" containsNumber="1" containsInteger="1" minValue="400" maxValue="9000"/>
    </cacheField>
    <cacheField name="Quantity" numFmtId="0">
      <sharedItems containsSemiMixedTypes="0" containsString="0" containsNumber="1" containsInteger="1" minValue="1" maxValue="6"/>
    </cacheField>
    <cacheField name="Months" numFmtId="0">
      <sharedItems/>
    </cacheField>
    <cacheField name="RealDate" numFmtId="14">
      <sharedItems containsSemiMixedTypes="0" containsNonDate="0" containsDate="1" containsString="0" minDate="5299-09-14T00:00:00" maxDate="5382-05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4-01-01T00:00:00"/>
    <x v="0"/>
    <x v="0"/>
    <x v="0"/>
    <n v="55000"/>
    <n v="8000"/>
    <n v="2"/>
    <x v="0"/>
    <d v="5299-09-14T00:00:00"/>
  </r>
  <r>
    <d v="2024-01-05T00:00:00"/>
    <x v="1"/>
    <x v="0"/>
    <x v="1"/>
    <n v="20000"/>
    <n v="3000"/>
    <n v="3"/>
    <x v="0"/>
    <d v="5304-01-14T00:00:00"/>
  </r>
  <r>
    <d v="2024-01-10T00:00:00"/>
    <x v="2"/>
    <x v="1"/>
    <x v="2"/>
    <n v="3000"/>
    <n v="500"/>
    <n v="5"/>
    <x v="0"/>
    <d v="5301-02-14T00:00:00"/>
  </r>
  <r>
    <d v="2024-01-15T00:00:00"/>
    <x v="3"/>
    <x v="1"/>
    <x v="0"/>
    <n v="4000"/>
    <n v="700"/>
    <n v="4"/>
    <x v="0"/>
    <d v="5306-07-15T00:00:00"/>
  </r>
  <r>
    <d v="2024-01-20T00:00:00"/>
    <x v="4"/>
    <x v="0"/>
    <x v="3"/>
    <n v="45000"/>
    <n v="6000"/>
    <n v="1"/>
    <x v="0"/>
    <d v="5311-12-15T00:00:00"/>
  </r>
  <r>
    <d v="2024-01-25T00:00:00"/>
    <x v="5"/>
    <x v="2"/>
    <x v="4"/>
    <n v="2500"/>
    <n v="400"/>
    <n v="2"/>
    <x v="0"/>
    <d v="5317-05-15T00:00:00"/>
  </r>
  <r>
    <d v="2024-02-01T00:00:00"/>
    <x v="0"/>
    <x v="0"/>
    <x v="1"/>
    <n v="60000"/>
    <n v="9000"/>
    <n v="2"/>
    <x v="1"/>
    <d v="5324-12-15T00:00:00"/>
  </r>
  <r>
    <d v="2024-02-05T00:00:00"/>
    <x v="1"/>
    <x v="0"/>
    <x v="0"/>
    <n v="22000"/>
    <n v="3500"/>
    <n v="3"/>
    <x v="1"/>
    <d v="5329-04-14T00:00:00"/>
  </r>
  <r>
    <d v="2024-02-10T00:00:00"/>
    <x v="2"/>
    <x v="1"/>
    <x v="3"/>
    <n v="3500"/>
    <n v="600"/>
    <n v="6"/>
    <x v="1"/>
    <d v="5334-09-14T00:00:00"/>
  </r>
  <r>
    <d v="2024-02-15T00:00:00"/>
    <x v="3"/>
    <x v="1"/>
    <x v="2"/>
    <n v="4500"/>
    <n v="800"/>
    <n v="4"/>
    <x v="1"/>
    <d v="5340-02-14T00:00:00"/>
  </r>
  <r>
    <d v="2024-02-20T00:00:00"/>
    <x v="4"/>
    <x v="0"/>
    <x v="4"/>
    <n v="48000"/>
    <n v="7000"/>
    <n v="1"/>
    <x v="1"/>
    <d v="5345-07-15T00:00:00"/>
  </r>
  <r>
    <d v="2024-02-25T00:00:00"/>
    <x v="5"/>
    <x v="2"/>
    <x v="0"/>
    <n v="3000"/>
    <n v="500"/>
    <n v="2"/>
    <x v="1"/>
    <d v="5350-12-15T00:00:00"/>
  </r>
  <r>
    <d v="2024-03-01T00:00:00"/>
    <x v="0"/>
    <x v="0"/>
    <x v="3"/>
    <n v="58000"/>
    <n v="8500"/>
    <n v="2"/>
    <x v="2"/>
    <d v="5356-05-15T00:00:00"/>
  </r>
  <r>
    <d v="2024-03-05T00:00:00"/>
    <x v="1"/>
    <x v="0"/>
    <x v="4"/>
    <n v="21000"/>
    <n v="3200"/>
    <n v="3"/>
    <x v="2"/>
    <d v="5360-09-14T00:00:00"/>
  </r>
  <r>
    <d v="2024-03-10T00:00:00"/>
    <x v="2"/>
    <x v="1"/>
    <x v="0"/>
    <n v="3200"/>
    <n v="550"/>
    <n v="5"/>
    <x v="2"/>
    <d v="5366-02-14T00:00:00"/>
  </r>
  <r>
    <d v="2024-03-15T00:00:00"/>
    <x v="3"/>
    <x v="1"/>
    <x v="1"/>
    <n v="4200"/>
    <n v="750"/>
    <n v="4"/>
    <x v="2"/>
    <d v="5371-07-15T00:00:00"/>
  </r>
  <r>
    <d v="2024-03-20T00:00:00"/>
    <x v="4"/>
    <x v="0"/>
    <x v="2"/>
    <n v="47000"/>
    <n v="6500"/>
    <n v="1"/>
    <x v="2"/>
    <d v="5376-12-15T00:00:00"/>
  </r>
  <r>
    <d v="2024-03-25T00:00:00"/>
    <x v="5"/>
    <x v="2"/>
    <x v="3"/>
    <n v="2800"/>
    <n v="450"/>
    <n v="2"/>
    <x v="2"/>
    <d v="5382-05-1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Laptop"/>
    <s v="Electronics"/>
    <s v="Delhi"/>
    <n v="55000"/>
    <n v="8000"/>
    <n v="2"/>
    <s v="Jan"/>
    <d v="5299-09-14T00:00:00"/>
  </r>
  <r>
    <x v="1"/>
    <s v="Mobile"/>
    <s v="Electronics"/>
    <s v="Maharashtra"/>
    <n v="20000"/>
    <n v="3000"/>
    <n v="3"/>
    <s v="Jan"/>
    <d v="5304-01-14T00:00:00"/>
  </r>
  <r>
    <x v="2"/>
    <s v="Shirt"/>
    <s v="Clothing"/>
    <s v="Uttar Pradesh"/>
    <n v="3000"/>
    <n v="500"/>
    <n v="5"/>
    <s v="Jan"/>
    <d v="5301-02-14T00:00:00"/>
  </r>
  <r>
    <x v="3"/>
    <s v="Shoes"/>
    <s v="Clothing"/>
    <s v="Delhi"/>
    <n v="4000"/>
    <n v="700"/>
    <n v="4"/>
    <s v="Jan"/>
    <d v="5306-07-15T00:00:00"/>
  </r>
  <r>
    <x v="4"/>
    <s v="TV"/>
    <s v="Electronics"/>
    <s v="Karnataka"/>
    <n v="45000"/>
    <n v="6000"/>
    <n v="1"/>
    <s v="Jan"/>
    <d v="5311-12-15T00:00:00"/>
  </r>
  <r>
    <x v="5"/>
    <s v="Watch"/>
    <s v="Accessories"/>
    <s v="Gujarat"/>
    <n v="2500"/>
    <n v="400"/>
    <n v="2"/>
    <s v="Jan"/>
    <d v="5317-05-15T00:00:00"/>
  </r>
  <r>
    <x v="6"/>
    <s v="Laptop"/>
    <s v="Electronics"/>
    <s v="Maharashtra"/>
    <n v="60000"/>
    <n v="9000"/>
    <n v="2"/>
    <s v="Feb"/>
    <d v="5324-12-15T00:00:00"/>
  </r>
  <r>
    <x v="7"/>
    <s v="Mobile"/>
    <s v="Electronics"/>
    <s v="Delhi"/>
    <n v="22000"/>
    <n v="3500"/>
    <n v="3"/>
    <s v="Feb"/>
    <d v="5329-04-14T00:00:00"/>
  </r>
  <r>
    <x v="8"/>
    <s v="Shirt"/>
    <s v="Clothing"/>
    <s v="Karnataka"/>
    <n v="3500"/>
    <n v="600"/>
    <n v="6"/>
    <s v="Feb"/>
    <d v="5334-09-14T00:00:00"/>
  </r>
  <r>
    <x v="9"/>
    <s v="Shoes"/>
    <s v="Clothing"/>
    <s v="Uttar Pradesh"/>
    <n v="4500"/>
    <n v="800"/>
    <n v="4"/>
    <s v="Feb"/>
    <d v="5340-02-14T00:00:00"/>
  </r>
  <r>
    <x v="10"/>
    <s v="TV"/>
    <s v="Electronics"/>
    <s v="Gujarat"/>
    <n v="48000"/>
    <n v="7000"/>
    <n v="1"/>
    <s v="Feb"/>
    <d v="5345-07-15T00:00:00"/>
  </r>
  <r>
    <x v="11"/>
    <s v="Watch"/>
    <s v="Accessories"/>
    <s v="Delhi"/>
    <n v="3000"/>
    <n v="500"/>
    <n v="2"/>
    <s v="Feb"/>
    <d v="5350-12-15T00:00:00"/>
  </r>
  <r>
    <x v="12"/>
    <s v="Laptop"/>
    <s v="Electronics"/>
    <s v="Karnataka"/>
    <n v="58000"/>
    <n v="8500"/>
    <n v="2"/>
    <s v="Mar"/>
    <d v="5356-05-15T00:00:00"/>
  </r>
  <r>
    <x v="13"/>
    <s v="Mobile"/>
    <s v="Electronics"/>
    <s v="Gujarat"/>
    <n v="21000"/>
    <n v="3200"/>
    <n v="3"/>
    <s v="Mar"/>
    <d v="5360-09-14T00:00:00"/>
  </r>
  <r>
    <x v="14"/>
    <s v="Shirt"/>
    <s v="Clothing"/>
    <s v="Delhi"/>
    <n v="3200"/>
    <n v="550"/>
    <n v="5"/>
    <s v="Mar"/>
    <d v="5366-02-14T00:00:00"/>
  </r>
  <r>
    <x v="15"/>
    <s v="Shoes"/>
    <s v="Clothing"/>
    <s v="Maharashtra"/>
    <n v="4200"/>
    <n v="750"/>
    <n v="4"/>
    <s v="Mar"/>
    <d v="5371-07-15T00:00:00"/>
  </r>
  <r>
    <x v="16"/>
    <s v="TV"/>
    <s v="Electronics"/>
    <s v="Uttar Pradesh"/>
    <n v="47000"/>
    <n v="6500"/>
    <n v="1"/>
    <s v="Mar"/>
    <d v="5376-12-15T00:00:00"/>
  </r>
  <r>
    <x v="17"/>
    <s v="Watch"/>
    <s v="Accessories"/>
    <s v="Karnataka"/>
    <n v="2800"/>
    <n v="450"/>
    <n v="2"/>
    <s v="Mar"/>
    <d v="5382-05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F4299-3A93-4DC0-B7E0-2C336A3D98C0}" name="PivotTable1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7" firstHeaderRow="1" firstDataRow="1" firstDataCol="1"/>
  <pivotFields count="9">
    <pivotField compact="0" numFmtId="1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0"/>
        <item x="4"/>
        <item x="3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 numFmtId="166"/>
  </dataFields>
  <formats count="7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7" type="button" dataOnly="0" labelOnly="1" outline="0" axis="axisRow" fieldPosition="0"/>
    </format>
    <format dxfId="45">
      <pivotArea dataOnly="0" labelOnly="1" outline="0" fieldPosition="0">
        <references count="1">
          <reference field="7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E33F8-9E25-4A67-9DB8-6F2A6F75436D}" name="PivotTable2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9">
    <pivotField compact="0" numFmtId="14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0"/>
        <item x="4"/>
        <item x="3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 numFmtId="166"/>
  </dataFields>
  <formats count="7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outline="0" collapsedLevelsAreSubtotals="1" fieldPosition="0"/>
    </format>
  </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D377A-AC71-4381-B5CE-ABF67DAC42C8}" name="PivotTable3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9">
    <pivotField compact="0" numFmtId="1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6"/>
  </dataFields>
  <formats count="7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3" type="button" dataOnly="0" labelOnly="1" outline="0" axis="axisRow" fieldPosition="0"/>
    </format>
    <format dxfId="31">
      <pivotArea dataOnly="0" labelOnly="1" outline="0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3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BD01A-8C8F-4415-B136-BFA9A68CD0EB}" name="PivotTable1" cacheId="10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4" firstHeaderRow="0" firstDataRow="1" firstDataCol="0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numFmtId="14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Sum of Profit" fld="5" baseField="0" baseItem="0"/>
    <dataField name="Sum of Quantity" fld="6" baseField="0" baseItem="0"/>
  </dataFields>
  <formats count="4"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63AB2-F2F6-446A-A720-3C06D32BE391}" name="PivotTable2" cacheId="10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2" firstHeaderRow="1" firstDataRow="1" firstDataCol="1"/>
  <pivotFields count="9">
    <pivotField axis="axisRow" compact="0" numFmtId="14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4" baseField="0" baseItem="0"/>
  </dataFields>
  <formats count="8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outline="0" fieldPosition="0">
        <references count="1">
          <reference field="0" count="0" selected="0"/>
        </references>
      </pivotArea>
    </format>
    <format dxfId="23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DC8FC-A9FA-4B32-B32C-9F025F44FFD5}" name="PivotTable1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9">
    <pivotField compact="0" numFmtId="1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0"/>
        <item x="4"/>
        <item x="3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Items count="1">
    <i/>
  </rowItems>
  <colItems count="1">
    <i/>
  </colItems>
  <dataFields count="1">
    <dataField name="Average of Sales" fld="4" subtotal="average" baseField="0" baseItem="0" numFmtId="174"/>
  </dataFields>
  <formats count="4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axis="axisValues" fieldPosition="0"/>
    </format>
    <format dxfId="1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F1EF9-A975-45C4-A43C-4968E53129AE}" name="PivotTable1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81:B85" firstHeaderRow="1" firstDataRow="1" firstDataCol="1"/>
  <pivotFields count="9">
    <pivotField compact="0" numFmtId="1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0"/>
        <item x="4"/>
        <item x="3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4C32DFC-BBF2-4109-8314-96F7CFE91B6A}" sourceName="Category">
  <pivotTables>
    <pivotTable tabId="5" name="PivotTable1"/>
    <pivotTable tabId="8" name="PivotTable1"/>
    <pivotTable tabId="6" name="PivotTable2"/>
    <pivotTable tabId="10" name="PivotTable1"/>
    <pivotTable tabId="7" name="PivotTable3"/>
  </pivotTables>
  <data>
    <tabular pivotCacheId="970934657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F52F3A8E-2C22-45B9-A9F4-94E202EC66F9}" sourceName="State">
  <pivotTables>
    <pivotTable tabId="5" name="PivotTable1"/>
    <pivotTable tabId="8" name="PivotTable1"/>
    <pivotTable tabId="6" name="PivotTable2"/>
    <pivotTable tabId="10" name="PivotTable1"/>
    <pivotTable tabId="7" name="PivotTable3"/>
  </pivotTables>
  <data>
    <tabular pivotCacheId="970934657">
      <items count="5">
        <i x="0" s="1"/>
        <i x="4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C2B304EC-EDFF-4B78-809B-13F3600CAB26}" cache="Slicer_Category" caption="Category" style="SlicerStyleLight4" rowHeight="228600"/>
  <slicer name="State 1" xr10:uid="{6AA431C6-58E4-4E5F-BCA8-6FABC1FCD458}" cache="Slicer_State" caption="State" style="SlicerStyleLight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7C1CD-8220-410B-922C-EE469A6CA960}" name="Table1" displayName="Table1" ref="A1:I19" totalsRowShown="0" headerRowDxfId="11" dataDxfId="10" tableBorderDxfId="9">
  <autoFilter ref="A1:I19" xr:uid="{BC67C1CD-8220-410B-922C-EE469A6CA960}"/>
  <tableColumns count="9">
    <tableColumn id="1" xr3:uid="{798DEF06-3803-4264-91E9-9D0BC2154614}" name="Date" dataDxfId="8"/>
    <tableColumn id="2" xr3:uid="{9F32976C-A0BF-4605-8B63-7570DA6DFFFC}" name="Product" dataDxfId="7"/>
    <tableColumn id="3" xr3:uid="{FA112E71-EB4D-44AB-8BCC-6B4FEEF290FF}" name="Category" dataDxfId="6"/>
    <tableColumn id="4" xr3:uid="{AF60980B-E1A7-40EF-ABF6-4A0F6935AA96}" name="State" dataDxfId="5"/>
    <tableColumn id="5" xr3:uid="{676F43B9-E2C8-4572-93AF-591294E62C56}" name="Sales" dataDxfId="4"/>
    <tableColumn id="6" xr3:uid="{CB1FD8DA-3822-45B9-96FB-0EC474F1D93D}" name="Profit" dataDxfId="3"/>
    <tableColumn id="7" xr3:uid="{10D55E96-2AE8-4223-ABD3-82EFA8345026}" name="Quantity" dataDxfId="2"/>
    <tableColumn id="8" xr3:uid="{EEEF3F9E-7299-4BAA-B1A3-25DD0F5CCF5B}" name="Months" dataDxfId="1">
      <calculatedColumnFormula>TEXT($A2,"mmm")</calculatedColumnFormula>
    </tableColumn>
    <tableColumn id="9" xr3:uid="{FC786A47-DFD9-4C99-8F57-CF733D59C988}" name="RealDate" dataDxfId="0">
      <calculatedColumnFormula>DATE(RIGHT(A2,4),MID(A2,4,2),LEFT(A2,2))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23" sqref="F23"/>
    </sheetView>
  </sheetViews>
  <sheetFormatPr defaultRowHeight="15"/>
  <cols>
    <col min="1" max="1" width="11.42578125" customWidth="1"/>
    <col min="2" max="2" width="10.140625" bestFit="1" customWidth="1"/>
    <col min="3" max="3" width="11.140625" bestFit="1" customWidth="1"/>
    <col min="4" max="4" width="13" bestFit="1" customWidth="1"/>
    <col min="5" max="5" width="11.5703125" bestFit="1" customWidth="1"/>
    <col min="6" max="6" width="10.5703125" bestFit="1" customWidth="1"/>
    <col min="7" max="7" width="11" bestFit="1" customWidth="1"/>
    <col min="8" max="8" width="10" bestFit="1" customWidth="1"/>
    <col min="9" max="9" width="11.28515625" bestFit="1" customWidth="1"/>
  </cols>
  <sheetData>
    <row r="1" spans="1:9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7">
        <v>45292</v>
      </c>
      <c r="B2" s="4" t="s">
        <v>9</v>
      </c>
      <c r="C2" s="4" t="s">
        <v>10</v>
      </c>
      <c r="D2" s="4" t="s">
        <v>11</v>
      </c>
      <c r="E2" s="35">
        <v>55000</v>
      </c>
      <c r="F2" s="35">
        <v>8000</v>
      </c>
      <c r="G2" s="4">
        <v>2</v>
      </c>
      <c r="H2" s="4" t="str">
        <f>TEXT($A2,"mmm")</f>
        <v>Jan</v>
      </c>
      <c r="I2" s="3">
        <f t="shared" ref="I2:I19" si="0">DATE(RIGHT(A2,4),MID(A2,4,2),LEFT(A2,2))</f>
        <v>1241718</v>
      </c>
    </row>
    <row r="3" spans="1:9">
      <c r="A3" s="8">
        <v>45296</v>
      </c>
      <c r="B3" s="6" t="s">
        <v>12</v>
      </c>
      <c r="C3" s="6" t="s">
        <v>10</v>
      </c>
      <c r="D3" s="6" t="s">
        <v>13</v>
      </c>
      <c r="E3" s="36">
        <v>20000</v>
      </c>
      <c r="F3" s="36">
        <v>3000</v>
      </c>
      <c r="G3" s="6">
        <v>3</v>
      </c>
      <c r="H3" s="6" t="str">
        <f>TEXT($A3,"mmm")</f>
        <v>Jan</v>
      </c>
      <c r="I3" s="5">
        <f t="shared" si="0"/>
        <v>1243300</v>
      </c>
    </row>
    <row r="4" spans="1:9">
      <c r="A4" s="7">
        <v>45301</v>
      </c>
      <c r="B4" s="4" t="s">
        <v>14</v>
      </c>
      <c r="C4" s="4" t="s">
        <v>15</v>
      </c>
      <c r="D4" s="4" t="s">
        <v>16</v>
      </c>
      <c r="E4" s="35">
        <v>3000</v>
      </c>
      <c r="F4" s="35">
        <v>500</v>
      </c>
      <c r="G4" s="4">
        <v>5</v>
      </c>
      <c r="H4" s="4" t="str">
        <f>TEXT($A4,"mmm")</f>
        <v>Jan</v>
      </c>
      <c r="I4" s="3">
        <f t="shared" si="0"/>
        <v>1242236</v>
      </c>
    </row>
    <row r="5" spans="1:9">
      <c r="A5" s="8">
        <v>45306</v>
      </c>
      <c r="B5" s="6" t="s">
        <v>17</v>
      </c>
      <c r="C5" s="6" t="s">
        <v>15</v>
      </c>
      <c r="D5" s="6" t="s">
        <v>11</v>
      </c>
      <c r="E5" s="36">
        <v>4000</v>
      </c>
      <c r="F5" s="36">
        <v>700</v>
      </c>
      <c r="G5" s="6">
        <v>4</v>
      </c>
      <c r="H5" s="6" t="str">
        <f>TEXT($A5,"mmm")</f>
        <v>Jan</v>
      </c>
      <c r="I5" s="5">
        <f t="shared" si="0"/>
        <v>1244213</v>
      </c>
    </row>
    <row r="6" spans="1:9">
      <c r="A6" s="7">
        <v>45311</v>
      </c>
      <c r="B6" s="4" t="s">
        <v>18</v>
      </c>
      <c r="C6" s="4" t="s">
        <v>10</v>
      </c>
      <c r="D6" s="4" t="s">
        <v>19</v>
      </c>
      <c r="E6" s="35">
        <v>45000</v>
      </c>
      <c r="F6" s="35">
        <v>6000</v>
      </c>
      <c r="G6" s="4">
        <v>1</v>
      </c>
      <c r="H6" s="4" t="str">
        <f>TEXT($A6,"mmm")</f>
        <v>Jan</v>
      </c>
      <c r="I6" s="3">
        <f t="shared" si="0"/>
        <v>1246192</v>
      </c>
    </row>
    <row r="7" spans="1:9">
      <c r="A7" s="8">
        <v>45316</v>
      </c>
      <c r="B7" s="6" t="s">
        <v>20</v>
      </c>
      <c r="C7" s="6" t="s">
        <v>21</v>
      </c>
      <c r="D7" s="6" t="s">
        <v>22</v>
      </c>
      <c r="E7" s="36">
        <v>2500</v>
      </c>
      <c r="F7" s="36">
        <v>400</v>
      </c>
      <c r="G7" s="6">
        <v>2</v>
      </c>
      <c r="H7" s="6" t="str">
        <f>TEXT($A7,"mmm")</f>
        <v>Jan</v>
      </c>
      <c r="I7" s="5">
        <f t="shared" si="0"/>
        <v>1248170</v>
      </c>
    </row>
    <row r="8" spans="1:9">
      <c r="A8" s="7">
        <v>45323</v>
      </c>
      <c r="B8" s="4" t="s">
        <v>9</v>
      </c>
      <c r="C8" s="4" t="s">
        <v>10</v>
      </c>
      <c r="D8" s="4" t="s">
        <v>13</v>
      </c>
      <c r="E8" s="35">
        <v>60000</v>
      </c>
      <c r="F8" s="35">
        <v>9000</v>
      </c>
      <c r="G8" s="4">
        <v>2</v>
      </c>
      <c r="H8" s="4" t="str">
        <f>TEXT($A8,"mmm")</f>
        <v>Feb</v>
      </c>
      <c r="I8" s="3">
        <f t="shared" si="0"/>
        <v>1250941</v>
      </c>
    </row>
    <row r="9" spans="1:9">
      <c r="A9" s="8">
        <v>45327</v>
      </c>
      <c r="B9" s="6" t="s">
        <v>12</v>
      </c>
      <c r="C9" s="6" t="s">
        <v>10</v>
      </c>
      <c r="D9" s="6" t="s">
        <v>11</v>
      </c>
      <c r="E9" s="36">
        <v>22000</v>
      </c>
      <c r="F9" s="36">
        <v>3500</v>
      </c>
      <c r="G9" s="6">
        <v>3</v>
      </c>
      <c r="H9" s="6" t="str">
        <f>TEXT($A9,"mmm")</f>
        <v>Feb</v>
      </c>
      <c r="I9" s="5">
        <f t="shared" si="0"/>
        <v>1252522</v>
      </c>
    </row>
    <row r="10" spans="1:9">
      <c r="A10" s="7">
        <v>45332</v>
      </c>
      <c r="B10" s="4" t="s">
        <v>14</v>
      </c>
      <c r="C10" s="4" t="s">
        <v>15</v>
      </c>
      <c r="D10" s="4" t="s">
        <v>19</v>
      </c>
      <c r="E10" s="35">
        <v>3500</v>
      </c>
      <c r="F10" s="35">
        <v>600</v>
      </c>
      <c r="G10" s="4">
        <v>6</v>
      </c>
      <c r="H10" s="4" t="str">
        <f>TEXT($A10,"mmm")</f>
        <v>Feb</v>
      </c>
      <c r="I10" s="3">
        <f t="shared" si="0"/>
        <v>1254501</v>
      </c>
    </row>
    <row r="11" spans="1:9">
      <c r="A11" s="8">
        <v>45337</v>
      </c>
      <c r="B11" s="6" t="s">
        <v>17</v>
      </c>
      <c r="C11" s="6" t="s">
        <v>15</v>
      </c>
      <c r="D11" s="6" t="s">
        <v>16</v>
      </c>
      <c r="E11" s="36">
        <v>4500</v>
      </c>
      <c r="F11" s="36">
        <v>800</v>
      </c>
      <c r="G11" s="6">
        <v>4</v>
      </c>
      <c r="H11" s="6" t="str">
        <f>TEXT($A11,"mmm")</f>
        <v>Feb</v>
      </c>
      <c r="I11" s="5">
        <f t="shared" si="0"/>
        <v>1256480</v>
      </c>
    </row>
    <row r="12" spans="1:9">
      <c r="A12" s="7">
        <v>45342</v>
      </c>
      <c r="B12" s="4" t="s">
        <v>18</v>
      </c>
      <c r="C12" s="4" t="s">
        <v>10</v>
      </c>
      <c r="D12" s="4" t="s">
        <v>22</v>
      </c>
      <c r="E12" s="35">
        <v>48000</v>
      </c>
      <c r="F12" s="35">
        <v>7000</v>
      </c>
      <c r="G12" s="4">
        <v>1</v>
      </c>
      <c r="H12" s="4" t="str">
        <f>TEXT($A12,"mmm")</f>
        <v>Feb</v>
      </c>
      <c r="I12" s="3">
        <f t="shared" si="0"/>
        <v>1258458</v>
      </c>
    </row>
    <row r="13" spans="1:9">
      <c r="A13" s="8">
        <v>45347</v>
      </c>
      <c r="B13" s="6" t="s">
        <v>20</v>
      </c>
      <c r="C13" s="6" t="s">
        <v>21</v>
      </c>
      <c r="D13" s="6" t="s">
        <v>11</v>
      </c>
      <c r="E13" s="36">
        <v>3000</v>
      </c>
      <c r="F13" s="36">
        <v>500</v>
      </c>
      <c r="G13" s="6">
        <v>2</v>
      </c>
      <c r="H13" s="6" t="str">
        <f>TEXT($A13,"mmm")</f>
        <v>Feb</v>
      </c>
      <c r="I13" s="5">
        <f t="shared" si="0"/>
        <v>1260437</v>
      </c>
    </row>
    <row r="14" spans="1:9">
      <c r="A14" s="7">
        <v>45352</v>
      </c>
      <c r="B14" s="4" t="s">
        <v>9</v>
      </c>
      <c r="C14" s="4" t="s">
        <v>10</v>
      </c>
      <c r="D14" s="4" t="s">
        <v>19</v>
      </c>
      <c r="E14" s="35">
        <v>58000</v>
      </c>
      <c r="F14" s="35">
        <v>8500</v>
      </c>
      <c r="G14" s="4">
        <v>2</v>
      </c>
      <c r="H14" s="4" t="str">
        <f>TEXT($A14,"mmm")</f>
        <v>Mar</v>
      </c>
      <c r="I14" s="3">
        <f t="shared" si="0"/>
        <v>1262415</v>
      </c>
    </row>
    <row r="15" spans="1:9">
      <c r="A15" s="8">
        <v>45356</v>
      </c>
      <c r="B15" s="6" t="s">
        <v>12</v>
      </c>
      <c r="C15" s="6" t="s">
        <v>10</v>
      </c>
      <c r="D15" s="6" t="s">
        <v>22</v>
      </c>
      <c r="E15" s="36">
        <v>21000</v>
      </c>
      <c r="F15" s="36">
        <v>3200</v>
      </c>
      <c r="G15" s="6">
        <v>3</v>
      </c>
      <c r="H15" s="6" t="str">
        <f>TEXT($A15,"mmm")</f>
        <v>Mar</v>
      </c>
      <c r="I15" s="5">
        <f t="shared" si="0"/>
        <v>1263998</v>
      </c>
    </row>
    <row r="16" spans="1:9">
      <c r="A16" s="7">
        <v>45361</v>
      </c>
      <c r="B16" s="4" t="s">
        <v>14</v>
      </c>
      <c r="C16" s="4" t="s">
        <v>15</v>
      </c>
      <c r="D16" s="4" t="s">
        <v>11</v>
      </c>
      <c r="E16" s="35">
        <v>3200</v>
      </c>
      <c r="F16" s="35">
        <v>550</v>
      </c>
      <c r="G16" s="4">
        <v>5</v>
      </c>
      <c r="H16" s="4" t="str">
        <f>TEXT($A16,"mmm")</f>
        <v>Mar</v>
      </c>
      <c r="I16" s="3">
        <f t="shared" si="0"/>
        <v>1265977</v>
      </c>
    </row>
    <row r="17" spans="1:9">
      <c r="A17" s="8">
        <v>45366</v>
      </c>
      <c r="B17" s="6" t="s">
        <v>17</v>
      </c>
      <c r="C17" s="6" t="s">
        <v>15</v>
      </c>
      <c r="D17" s="6" t="s">
        <v>13</v>
      </c>
      <c r="E17" s="36">
        <v>4200</v>
      </c>
      <c r="F17" s="36">
        <v>750</v>
      </c>
      <c r="G17" s="6">
        <v>4</v>
      </c>
      <c r="H17" s="6" t="str">
        <f>TEXT($A17,"mmm")</f>
        <v>Mar</v>
      </c>
      <c r="I17" s="5">
        <f t="shared" si="0"/>
        <v>1267954</v>
      </c>
    </row>
    <row r="18" spans="1:9">
      <c r="A18" s="7">
        <v>45371</v>
      </c>
      <c r="B18" s="4" t="s">
        <v>18</v>
      </c>
      <c r="C18" s="4" t="s">
        <v>10</v>
      </c>
      <c r="D18" s="4" t="s">
        <v>16</v>
      </c>
      <c r="E18" s="35">
        <v>47000</v>
      </c>
      <c r="F18" s="35">
        <v>6500</v>
      </c>
      <c r="G18" s="4">
        <v>1</v>
      </c>
      <c r="H18" s="4" t="str">
        <f>TEXT($A18,"mmm")</f>
        <v>Mar</v>
      </c>
      <c r="I18" s="3">
        <f t="shared" si="0"/>
        <v>1269934</v>
      </c>
    </row>
    <row r="19" spans="1:9">
      <c r="A19" s="8">
        <v>45376</v>
      </c>
      <c r="B19" s="6" t="s">
        <v>20</v>
      </c>
      <c r="C19" s="6" t="s">
        <v>21</v>
      </c>
      <c r="D19" s="6" t="s">
        <v>19</v>
      </c>
      <c r="E19" s="36">
        <v>2800</v>
      </c>
      <c r="F19" s="36">
        <v>450</v>
      </c>
      <c r="G19" s="6">
        <v>2</v>
      </c>
      <c r="H19" s="6" t="str">
        <f>TEXT($A19,"mmm")</f>
        <v>Mar</v>
      </c>
      <c r="I19" s="5">
        <f t="shared" si="0"/>
        <v>1271911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19E4-7E4D-414E-AA45-9AB80789F507}">
  <dimension ref="A3:J9"/>
  <sheetViews>
    <sheetView workbookViewId="0">
      <selection activeCell="H16" sqref="H16"/>
    </sheetView>
  </sheetViews>
  <sheetFormatPr defaultRowHeight="15"/>
  <cols>
    <col min="1" max="1" width="11.42578125" bestFit="1" customWidth="1"/>
    <col min="2" max="2" width="12.7109375" bestFit="1" customWidth="1"/>
  </cols>
  <sheetData>
    <row r="3" spans="1:10">
      <c r="A3" s="37" t="s">
        <v>7</v>
      </c>
      <c r="B3" s="38" t="s">
        <v>23</v>
      </c>
    </row>
    <row r="4" spans="1:10">
      <c r="A4" s="38" t="s">
        <v>24</v>
      </c>
      <c r="B4" s="40">
        <v>129500</v>
      </c>
    </row>
    <row r="5" spans="1:10">
      <c r="A5" s="38" t="s">
        <v>25</v>
      </c>
      <c r="B5" s="40">
        <v>141000</v>
      </c>
    </row>
    <row r="6" spans="1:10">
      <c r="A6" s="38" t="s">
        <v>26</v>
      </c>
      <c r="B6" s="40">
        <v>136200</v>
      </c>
    </row>
    <row r="7" spans="1:10">
      <c r="A7" s="38" t="s">
        <v>27</v>
      </c>
      <c r="B7" s="40">
        <v>406700</v>
      </c>
    </row>
    <row r="9" spans="1:10">
      <c r="J9" s="4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0334-5A83-458A-97E4-1DBBE792606D}">
  <dimension ref="A3:B10"/>
  <sheetViews>
    <sheetView workbookViewId="0">
      <selection activeCell="I12" sqref="I12"/>
    </sheetView>
  </sheetViews>
  <sheetFormatPr defaultRowHeight="15"/>
  <cols>
    <col min="1" max="1" width="11.42578125" bestFit="1" customWidth="1"/>
    <col min="2" max="2" width="12.7109375" bestFit="1" customWidth="1"/>
  </cols>
  <sheetData>
    <row r="3" spans="1:2">
      <c r="A3" s="37" t="s">
        <v>1</v>
      </c>
      <c r="B3" s="38" t="s">
        <v>23</v>
      </c>
    </row>
    <row r="4" spans="1:2">
      <c r="A4" s="38" t="s">
        <v>9</v>
      </c>
      <c r="B4" s="40">
        <v>173000</v>
      </c>
    </row>
    <row r="5" spans="1:2">
      <c r="A5" s="38" t="s">
        <v>12</v>
      </c>
      <c r="B5" s="40">
        <v>63000</v>
      </c>
    </row>
    <row r="6" spans="1:2">
      <c r="A6" s="38" t="s">
        <v>14</v>
      </c>
      <c r="B6" s="40">
        <v>9700</v>
      </c>
    </row>
    <row r="7" spans="1:2">
      <c r="A7" s="38" t="s">
        <v>17</v>
      </c>
      <c r="B7" s="40">
        <v>12700</v>
      </c>
    </row>
    <row r="8" spans="1:2">
      <c r="A8" s="38" t="s">
        <v>18</v>
      </c>
      <c r="B8" s="40">
        <v>140000</v>
      </c>
    </row>
    <row r="9" spans="1:2">
      <c r="A9" s="38" t="s">
        <v>20</v>
      </c>
      <c r="B9" s="40">
        <v>8300</v>
      </c>
    </row>
    <row r="10" spans="1:2">
      <c r="A10" s="38" t="s">
        <v>27</v>
      </c>
      <c r="B10" s="40">
        <v>406700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8708-EB01-4BC4-9593-4987BF940A8B}">
  <dimension ref="A3:B9"/>
  <sheetViews>
    <sheetView workbookViewId="0">
      <selection activeCell="K17" sqref="K17"/>
    </sheetView>
  </sheetViews>
  <sheetFormatPr defaultRowHeight="15"/>
  <cols>
    <col min="1" max="1" width="13" bestFit="1" customWidth="1"/>
    <col min="2" max="2" width="12.7109375" bestFit="1" customWidth="1"/>
  </cols>
  <sheetData>
    <row r="3" spans="1:2">
      <c r="A3" s="37" t="s">
        <v>3</v>
      </c>
      <c r="B3" s="38" t="s">
        <v>23</v>
      </c>
    </row>
    <row r="4" spans="1:2">
      <c r="A4" s="38" t="s">
        <v>11</v>
      </c>
      <c r="B4" s="40">
        <v>87200</v>
      </c>
    </row>
    <row r="5" spans="1:2">
      <c r="A5" s="38" t="s">
        <v>22</v>
      </c>
      <c r="B5" s="40">
        <v>71500</v>
      </c>
    </row>
    <row r="6" spans="1:2">
      <c r="A6" s="38" t="s">
        <v>19</v>
      </c>
      <c r="B6" s="40">
        <v>109300</v>
      </c>
    </row>
    <row r="7" spans="1:2">
      <c r="A7" s="38" t="s">
        <v>13</v>
      </c>
      <c r="B7" s="40">
        <v>84200</v>
      </c>
    </row>
    <row r="8" spans="1:2">
      <c r="A8" s="38" t="s">
        <v>16</v>
      </c>
      <c r="B8" s="40">
        <v>54500</v>
      </c>
    </row>
    <row r="9" spans="1:2">
      <c r="A9" s="38" t="s">
        <v>27</v>
      </c>
      <c r="B9" s="40">
        <v>406700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6FE5-62B9-43C8-A9DE-0ED2586A55EC}">
  <dimension ref="A3:C4"/>
  <sheetViews>
    <sheetView workbookViewId="0">
      <selection activeCell="G19" sqref="G19"/>
    </sheetView>
  </sheetViews>
  <sheetFormatPr defaultRowHeight="15"/>
  <cols>
    <col min="1" max="1" width="12.7109375" bestFit="1" customWidth="1"/>
    <col min="2" max="2" width="12.5703125" bestFit="1" customWidth="1"/>
    <col min="3" max="3" width="15.42578125" bestFit="1" customWidth="1"/>
  </cols>
  <sheetData>
    <row r="3" spans="1:3">
      <c r="A3" s="38" t="s">
        <v>23</v>
      </c>
      <c r="B3" s="38" t="s">
        <v>28</v>
      </c>
      <c r="C3" s="38" t="s">
        <v>29</v>
      </c>
    </row>
    <row r="4" spans="1:3">
      <c r="A4" s="40">
        <v>406700</v>
      </c>
      <c r="B4" s="40">
        <v>59950</v>
      </c>
      <c r="C4" s="40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BF-00FE-45BA-B5D3-258094F21962}">
  <dimension ref="A3:B22"/>
  <sheetViews>
    <sheetView workbookViewId="0">
      <selection activeCell="G20" sqref="G20"/>
    </sheetView>
  </sheetViews>
  <sheetFormatPr defaultRowHeight="15"/>
  <cols>
    <col min="1" max="1" width="11.42578125" bestFit="1" customWidth="1"/>
    <col min="2" max="2" width="12.7109375" bestFit="1" customWidth="1"/>
  </cols>
  <sheetData>
    <row r="3" spans="1:2">
      <c r="A3" s="37" t="s">
        <v>0</v>
      </c>
      <c r="B3" s="38" t="s">
        <v>23</v>
      </c>
    </row>
    <row r="4" spans="1:2">
      <c r="A4" s="39">
        <v>45292</v>
      </c>
      <c r="B4" s="40">
        <v>55000</v>
      </c>
    </row>
    <row r="5" spans="1:2">
      <c r="A5" s="39">
        <v>45296</v>
      </c>
      <c r="B5" s="40">
        <v>20000</v>
      </c>
    </row>
    <row r="6" spans="1:2">
      <c r="A6" s="39">
        <v>45301</v>
      </c>
      <c r="B6" s="40">
        <v>3000</v>
      </c>
    </row>
    <row r="7" spans="1:2">
      <c r="A7" s="39">
        <v>45306</v>
      </c>
      <c r="B7" s="40">
        <v>4000</v>
      </c>
    </row>
    <row r="8" spans="1:2">
      <c r="A8" s="39">
        <v>45311</v>
      </c>
      <c r="B8" s="40">
        <v>45000</v>
      </c>
    </row>
    <row r="9" spans="1:2">
      <c r="A9" s="39">
        <v>45316</v>
      </c>
      <c r="B9" s="40">
        <v>2500</v>
      </c>
    </row>
    <row r="10" spans="1:2">
      <c r="A10" s="39">
        <v>45323</v>
      </c>
      <c r="B10" s="40">
        <v>60000</v>
      </c>
    </row>
    <row r="11" spans="1:2">
      <c r="A11" s="39">
        <v>45327</v>
      </c>
      <c r="B11" s="40">
        <v>22000</v>
      </c>
    </row>
    <row r="12" spans="1:2">
      <c r="A12" s="39">
        <v>45332</v>
      </c>
      <c r="B12" s="40">
        <v>3500</v>
      </c>
    </row>
    <row r="13" spans="1:2">
      <c r="A13" s="39">
        <v>45337</v>
      </c>
      <c r="B13" s="40">
        <v>4500</v>
      </c>
    </row>
    <row r="14" spans="1:2">
      <c r="A14" s="39">
        <v>45342</v>
      </c>
      <c r="B14" s="40">
        <v>48000</v>
      </c>
    </row>
    <row r="15" spans="1:2">
      <c r="A15" s="39">
        <v>45347</v>
      </c>
      <c r="B15" s="40">
        <v>3000</v>
      </c>
    </row>
    <row r="16" spans="1:2">
      <c r="A16" s="39">
        <v>45352</v>
      </c>
      <c r="B16" s="40">
        <v>58000</v>
      </c>
    </row>
    <row r="17" spans="1:2">
      <c r="A17" s="39">
        <v>45356</v>
      </c>
      <c r="B17" s="40">
        <v>21000</v>
      </c>
    </row>
    <row r="18" spans="1:2">
      <c r="A18" s="39">
        <v>45361</v>
      </c>
      <c r="B18" s="40">
        <v>3200</v>
      </c>
    </row>
    <row r="19" spans="1:2">
      <c r="A19" s="39">
        <v>45366</v>
      </c>
      <c r="B19" s="40">
        <v>4200</v>
      </c>
    </row>
    <row r="20" spans="1:2">
      <c r="A20" s="39">
        <v>45371</v>
      </c>
      <c r="B20" s="40">
        <v>47000</v>
      </c>
    </row>
    <row r="21" spans="1:2">
      <c r="A21" s="39">
        <v>45376</v>
      </c>
      <c r="B21" s="40">
        <v>2800</v>
      </c>
    </row>
    <row r="22" spans="1:2">
      <c r="A22" s="39" t="s">
        <v>27</v>
      </c>
      <c r="B22" s="40">
        <v>406700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6907-D68F-412F-8F0F-B90937E5A46E}">
  <dimension ref="A3:A4"/>
  <sheetViews>
    <sheetView workbookViewId="0">
      <selection activeCell="C5" sqref="C5"/>
    </sheetView>
  </sheetViews>
  <sheetFormatPr defaultRowHeight="15"/>
  <cols>
    <col min="1" max="1" width="15.42578125" bestFit="1" customWidth="1"/>
  </cols>
  <sheetData>
    <row r="3" spans="1:1">
      <c r="A3" s="38" t="s">
        <v>30</v>
      </c>
    </row>
    <row r="4" spans="1:1">
      <c r="A4" s="42">
        <v>22594.444444444445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3D0C-E76B-424C-8854-AEEB49F4319B}">
  <dimension ref="A1:X85"/>
  <sheetViews>
    <sheetView showGridLines="0" workbookViewId="0">
      <selection activeCell="P21" sqref="P21"/>
    </sheetView>
  </sheetViews>
  <sheetFormatPr defaultRowHeight="15"/>
  <cols>
    <col min="1" max="1" width="11.42578125" style="12" customWidth="1"/>
    <col min="2" max="2" width="12.140625" style="12" customWidth="1"/>
    <col min="3" max="9" width="9.140625" style="12"/>
    <col min="10" max="10" width="9.140625" style="13"/>
    <col min="11" max="17" width="9.140625" style="12"/>
    <col min="18" max="18" width="9.7109375" style="12" bestFit="1" customWidth="1"/>
    <col min="19" max="16384" width="9.140625" style="12"/>
  </cols>
  <sheetData>
    <row r="1" spans="1:24" ht="15" customHeight="1">
      <c r="A1" s="28" t="s">
        <v>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11"/>
      <c r="U1" s="11"/>
      <c r="V1" s="11"/>
      <c r="W1" s="11"/>
      <c r="X1" s="11"/>
    </row>
    <row r="2" spans="1:24" ht="15" customHeigh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11"/>
      <c r="U2" s="11"/>
      <c r="V2" s="11"/>
      <c r="W2" s="11"/>
      <c r="X2" s="11"/>
    </row>
    <row r="3" spans="1:24">
      <c r="J3" s="12"/>
    </row>
    <row r="4" spans="1:24">
      <c r="D4" s="14" t="s">
        <v>32</v>
      </c>
      <c r="E4" s="15"/>
      <c r="F4" s="16"/>
      <c r="H4" s="14" t="s">
        <v>33</v>
      </c>
      <c r="I4" s="15"/>
      <c r="J4" s="16"/>
      <c r="L4" s="14" t="s">
        <v>34</v>
      </c>
      <c r="M4" s="15"/>
      <c r="N4" s="16"/>
      <c r="P4" s="14" t="s">
        <v>35</v>
      </c>
      <c r="Q4" s="15"/>
      <c r="R4" s="16"/>
    </row>
    <row r="5" spans="1:24" ht="21">
      <c r="D5" s="20">
        <f>Monthly_Pivot!B7</f>
        <v>406700</v>
      </c>
      <c r="E5" s="21"/>
      <c r="F5" s="22"/>
      <c r="H5" s="23">
        <f>'Avg Sale'!A4</f>
        <v>22594.444444444445</v>
      </c>
      <c r="I5" s="24"/>
      <c r="J5" s="25"/>
      <c r="L5" s="17" t="str">
        <f>'State-Wise Pivot'!A6</f>
        <v>Karnataka</v>
      </c>
      <c r="M5" s="18"/>
      <c r="N5" s="19"/>
      <c r="P5" s="17" t="str">
        <f>'Product-Wise Pivot'!A4</f>
        <v>Laptop</v>
      </c>
      <c r="Q5" s="18"/>
      <c r="R5" s="19"/>
    </row>
    <row r="9" spans="1:24">
      <c r="L9" s="13"/>
    </row>
    <row r="19" spans="8:17">
      <c r="P19" s="34"/>
    </row>
    <row r="20" spans="8:17">
      <c r="Q20" s="34"/>
    </row>
    <row r="22" spans="8:17">
      <c r="P22" s="34"/>
    </row>
    <row r="25" spans="8:17">
      <c r="H25" s="27"/>
    </row>
    <row r="81" spans="1:4">
      <c r="A81" s="2" t="s">
        <v>7</v>
      </c>
      <c r="B81" t="s">
        <v>23</v>
      </c>
    </row>
    <row r="82" spans="1:4">
      <c r="A82" t="s">
        <v>24</v>
      </c>
      <c r="B82" s="1">
        <v>129500</v>
      </c>
    </row>
    <row r="83" spans="1:4">
      <c r="A83" t="s">
        <v>25</v>
      </c>
      <c r="B83" s="1">
        <v>141000</v>
      </c>
    </row>
    <row r="84" spans="1:4">
      <c r="A84" t="s">
        <v>26</v>
      </c>
      <c r="B84" s="1">
        <v>136200</v>
      </c>
    </row>
    <row r="85" spans="1:4">
      <c r="A85" t="s">
        <v>27</v>
      </c>
      <c r="B85" s="1">
        <v>406700</v>
      </c>
      <c r="D85" s="26"/>
    </row>
  </sheetData>
  <mergeCells count="9">
    <mergeCell ref="A1:S2"/>
    <mergeCell ref="D5:F5"/>
    <mergeCell ref="D4:F4"/>
    <mergeCell ref="H4:J4"/>
    <mergeCell ref="H5:J5"/>
    <mergeCell ref="L5:N5"/>
    <mergeCell ref="P4:R4"/>
    <mergeCell ref="P5:R5"/>
    <mergeCell ref="L4:N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Vansh Kumar</cp:lastModifiedBy>
  <cp:revision/>
  <dcterms:created xsi:type="dcterms:W3CDTF">2026-04-05T13:25:28Z</dcterms:created>
  <dcterms:modified xsi:type="dcterms:W3CDTF">2026-04-06T07:55:38Z</dcterms:modified>
  <cp:category/>
  <cp:contentStatus/>
</cp:coreProperties>
</file>